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<sst xmlns="http://schemas.openxmlformats.org/spreadsheetml/2006/main" count="12" uniqueCount="12">
  <si>
    <t>Paste over this cell with all data down and to right</t>
  </si>
  <si>
    <t>Income</t>
  </si>
  <si>
    <t>Revenue - Website</t>
  </si>
  <si>
    <t xml:space="preserve">   4110 Revenue - Website</t>
  </si>
  <si>
    <t>Revenue - Wholesale</t>
  </si>
  <si>
    <t xml:space="preserve">   4210 Revenue - Wholesale</t>
  </si>
  <si>
    <t>Revenue - Returns &amp; Refunds</t>
  </si>
  <si>
    <t xml:space="preserve">   4910 Sales Returns &amp; Refunds</t>
  </si>
  <si>
    <t>Revenue - Sales Discounts</t>
  </si>
  <si>
    <t xml:space="preserve">   4911 Sales Discounts</t>
  </si>
  <si>
    <t>Revenue - Shipping</t>
  </si>
  <si>
    <t xml:space="preserve">   4912 Shipping Income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</si>
</sst>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_€"/>
  </numFmts>
  <fonts count="7">
    <font>
      <sz val="10.0"/>
      <color rgb="FF000000"/>
      <name val="Arial"/>
      <scheme val="minor"/>
    </font>
    <font>
      <sz val="11.0"/>
      <color theme="1"/>
      <name val="Calibri"/>
    </font>
    <font>
      <b/>
      <sz val="8.0"/>
      <color rgb="FFF2F2F2"/>
      <name val="Calibri"/>
    </font>
    <font>
      <b/>
      <sz val="9.0"/>
      <color theme="1"/>
      <name val="Arial"/>
    </font>
    <font>
      <b/>
      <sz val="8.0"/>
      <color theme="1"/>
      <name val="Arial"/>
    </font>
    <font>
      <b/>
      <sz val="8.0"/>
      <color theme="1"/>
      <name val="Calibri"/>
    </font>
    <font>
      <sz val="8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B6DDE8"/>
        <bgColor rgb="FFB6DDE8"/>
      </patternFill>
    </fill>
  </fills>
  <borders count="3">
    <border/>
    <border>
      <left/>
      <right/>
      <top/>
      <bottom/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3" fontId="2" numFmtId="0" xfId="0" applyAlignment="1" applyBorder="1" applyFill="1" applyFont="1">
      <alignment shrinkToFit="0" vertical="bottom" wrapText="1"/>
    </xf>
    <xf borderId="2" fillId="0" fontId="3" numFmtId="14" xfId="0" applyAlignment="1" applyBorder="1" applyFont="1" applyNumberFormat="1">
      <alignment horizontal="center" shrinkToFit="0" vertical="bottom" wrapText="1"/>
    </xf>
    <xf borderId="1" fillId="4" fontId="1" numFmtId="0" xfId="0" applyAlignment="1" applyBorder="1" applyFill="1" applyFont="1">
      <alignment vertical="bottom"/>
    </xf>
    <xf borderId="0" fillId="0" fontId="4" numFmtId="0" xfId="0" applyAlignment="1" applyFont="1">
      <alignment shrinkToFit="0" vertical="bottom" wrapText="1"/>
    </xf>
    <xf borderId="0" fillId="0" fontId="1" numFmtId="164" xfId="0" applyAlignment="1" applyFont="1" applyNumberFormat="1">
      <alignment vertical="bottom"/>
    </xf>
    <xf borderId="1" fillId="4" fontId="5" numFmtId="0" xfId="0" applyAlignment="1" applyBorder="1" applyFont="1">
      <alignment vertical="bottom"/>
    </xf>
    <xf borderId="0" fillId="0" fontId="6" numFmtId="164" xfId="0" applyAlignment="1" applyFont="1" applyNumberForma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3">
        <v>44957.0</v>
      </c>
      <c r="D1" s="3">
        <f t="shared" ref="D1:K1" si="1">+EOMONTH(C1,1)</f>
        <v>44985</v>
      </c>
      <c r="E1" s="3">
        <f t="shared" si="1"/>
        <v>45016</v>
      </c>
      <c r="F1" s="3">
        <f t="shared" si="1"/>
        <v>45046</v>
      </c>
      <c r="G1" s="3">
        <f t="shared" si="1"/>
        <v>45077</v>
      </c>
      <c r="H1" s="3">
        <f t="shared" si="1"/>
        <v>45107</v>
      </c>
      <c r="I1" s="3">
        <f t="shared" si="1"/>
        <v>45138</v>
      </c>
      <c r="J1" s="3">
        <f t="shared" si="1"/>
        <v>45169</v>
      </c>
      <c r="K1" s="3">
        <f t="shared" si="1"/>
        <v>45199</v>
      </c>
    </row>
    <row r="2">
      <c r="A2" s="4"/>
      <c r="B2" s="5" t="s">
        <v>1</v>
      </c>
      <c r="C2" s="6"/>
      <c r="D2" s="6"/>
      <c r="E2" s="6"/>
      <c r="F2" s="6"/>
      <c r="G2" s="6"/>
      <c r="H2" s="6"/>
      <c r="I2" s="6"/>
      <c r="J2" s="6"/>
      <c r="K2" s="6"/>
    </row>
    <row r="3">
      <c r="A3" s="7" t="s">
        <v>2</v>
      </c>
      <c r="B3" s="5" t="s">
        <v>3</v>
      </c>
      <c r="C3" s="8">
        <v>25000.0</v>
      </c>
      <c r="D3" s="8">
        <f t="shared" ref="D3:K3" si="2">C3*1.07</f>
        <v>26750</v>
      </c>
      <c r="E3" s="8">
        <f t="shared" si="2"/>
        <v>28622.5</v>
      </c>
      <c r="F3" s="8">
        <f t="shared" si="2"/>
        <v>30626.075</v>
      </c>
      <c r="G3" s="8">
        <f t="shared" si="2"/>
        <v>32769.90025</v>
      </c>
      <c r="H3" s="8">
        <f t="shared" si="2"/>
        <v>35063.79327</v>
      </c>
      <c r="I3" s="8">
        <f t="shared" si="2"/>
        <v>37518.2588</v>
      </c>
      <c r="J3" s="8">
        <f t="shared" si="2"/>
        <v>40144.53691</v>
      </c>
      <c r="K3" s="8">
        <f t="shared" si="2"/>
        <v>42954.6545</v>
      </c>
    </row>
    <row r="4">
      <c r="A4" s="7" t="s">
        <v>4</v>
      </c>
      <c r="B4" s="5" t="s">
        <v>5</v>
      </c>
      <c r="C4" s="8">
        <v>10000.0</v>
      </c>
      <c r="D4" s="8">
        <v>10000.0</v>
      </c>
      <c r="E4" s="8">
        <v>10000.0</v>
      </c>
      <c r="F4" s="8">
        <v>10000.0</v>
      </c>
      <c r="G4" s="8">
        <v>10000.0</v>
      </c>
      <c r="H4" s="8">
        <v>10000.0</v>
      </c>
      <c r="I4" s="8">
        <v>10000.0</v>
      </c>
      <c r="J4" s="8">
        <v>10000.0</v>
      </c>
      <c r="K4" s="8">
        <v>10000.0</v>
      </c>
    </row>
    <row r="5">
      <c r="A5" s="7" t="s">
        <v>6</v>
      </c>
      <c r="B5" s="5" t="s">
        <v>7</v>
      </c>
      <c r="C5" s="8">
        <f t="shared" ref="C5:K5" si="3">-C3*0.03</f>
        <v>-750</v>
      </c>
      <c r="D5" s="8">
        <f t="shared" si="3"/>
        <v>-802.5</v>
      </c>
      <c r="E5" s="8">
        <f t="shared" si="3"/>
        <v>-858.675</v>
      </c>
      <c r="F5" s="8">
        <f t="shared" si="3"/>
        <v>-918.78225</v>
      </c>
      <c r="G5" s="8">
        <f t="shared" si="3"/>
        <v>-983.0970075</v>
      </c>
      <c r="H5" s="8">
        <f t="shared" si="3"/>
        <v>-1051.913798</v>
      </c>
      <c r="I5" s="8">
        <f t="shared" si="3"/>
        <v>-1125.547764</v>
      </c>
      <c r="J5" s="8">
        <f t="shared" si="3"/>
        <v>-1204.336107</v>
      </c>
      <c r="K5" s="8">
        <f t="shared" si="3"/>
        <v>-1288.639635</v>
      </c>
    </row>
    <row r="6">
      <c r="A6" s="7" t="s">
        <v>8</v>
      </c>
      <c r="B6" s="5" t="s">
        <v>9</v>
      </c>
      <c r="C6" s="8">
        <f t="shared" ref="C6:K6" si="4">C3*-0.05</f>
        <v>-1250</v>
      </c>
      <c r="D6" s="8">
        <f t="shared" si="4"/>
        <v>-1337.5</v>
      </c>
      <c r="E6" s="8">
        <f t="shared" si="4"/>
        <v>-1431.125</v>
      </c>
      <c r="F6" s="8">
        <f t="shared" si="4"/>
        <v>-1531.30375</v>
      </c>
      <c r="G6" s="8">
        <f t="shared" si="4"/>
        <v>-1638.495013</v>
      </c>
      <c r="H6" s="8">
        <f t="shared" si="4"/>
        <v>-1753.189663</v>
      </c>
      <c r="I6" s="8">
        <f t="shared" si="4"/>
        <v>-1875.91294</v>
      </c>
      <c r="J6" s="8">
        <f t="shared" si="4"/>
        <v>-2007.226846</v>
      </c>
      <c r="K6" s="8">
        <f t="shared" si="4"/>
        <v>-2147.732725</v>
      </c>
    </row>
    <row r="7">
      <c r="A7" s="7" t="s">
        <v>10</v>
      </c>
      <c r="B7" s="5" t="s">
        <v>11</v>
      </c>
      <c r="C7" s="8">
        <f t="shared" ref="C7:K7" si="5">C3*0.1</f>
        <v>2500</v>
      </c>
      <c r="D7" s="8">
        <f t="shared" si="5"/>
        <v>2675</v>
      </c>
      <c r="E7" s="8">
        <f t="shared" si="5"/>
        <v>2862.25</v>
      </c>
      <c r="F7" s="8">
        <f t="shared" si="5"/>
        <v>3062.6075</v>
      </c>
      <c r="G7" s="8">
        <f t="shared" si="5"/>
        <v>3276.990025</v>
      </c>
      <c r="H7" s="8">
        <f t="shared" si="5"/>
        <v>3506.379327</v>
      </c>
      <c r="I7" s="8">
        <f t="shared" si="5"/>
        <v>3751.82588</v>
      </c>
      <c r="J7" s="8">
        <f t="shared" si="5"/>
        <v>4014.453691</v>
      </c>
      <c r="K7" s="8">
        <f t="shared" si="5"/>
        <v>4295.46545</v>
      </c>
    </row>
  </sheetData>
  <dataValidations>
    <dataValidation type="list" allowBlank="1" showErrorMessage="1" sqref="A2:A7">
      <formula1>#REF!</formula1>
    </dataValidation>
  </dataValidations>
  <drawing r:id="rId1"/>
</worksheet>
</file>